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11_43C5B944BAE2760E011D37B667888020E971BB48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Progress Tracker" sheetId="1" r:id="rId1"/>
    <sheet name="Level 1" sheetId="2" r:id="rId2"/>
    <sheet name="Level 2" sheetId="3" r:id="rId3"/>
    <sheet name="Level 3" sheetId="4" r:id="rId4"/>
    <sheet name="Level 4" sheetId="5" r:id="rId5"/>
    <sheet name="Level 5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1" l="1"/>
  <c r="D16" i="1"/>
</calcChain>
</file>

<file path=xl/sharedStrings.xml><?xml version="1.0" encoding="utf-8"?>
<sst xmlns="http://schemas.openxmlformats.org/spreadsheetml/2006/main" count="305" uniqueCount="213">
  <si>
    <t>Enterprise Healthcare DAX Training – Progress Tracker</t>
  </si>
  <si>
    <t>Status as of current review of Hospital.pbix</t>
  </si>
  <si>
    <t>Level</t>
  </si>
  <si>
    <t>Level Name</t>
  </si>
  <si>
    <t>Status</t>
  </si>
  <si>
    <t>Measures Created</t>
  </si>
  <si>
    <t>Calculated Columns Created</t>
  </si>
  <si>
    <t>Remaining Topics / Scenarios</t>
  </si>
  <si>
    <t>Level 1</t>
  </si>
  <si>
    <t>Basic Aggregation Measures</t>
  </si>
  <si>
    <t>Completed</t>
  </si>
  <si>
    <t>None</t>
  </si>
  <si>
    <t>Level 2</t>
  </si>
  <si>
    <t>CALCULATE &amp; Filter Context</t>
  </si>
  <si>
    <t>Level 3</t>
  </si>
  <si>
    <t>Time Intelligence</t>
  </si>
  <si>
    <t>Level 4</t>
  </si>
  <si>
    <t>Evaluation Context &amp; Iterators</t>
  </si>
  <si>
    <t>Level 5</t>
  </si>
  <si>
    <t>Relationships &amp; Advanced Filtering</t>
  </si>
  <si>
    <t>Level 6</t>
  </si>
  <si>
    <t>Ranking &amp; Segmentation</t>
  </si>
  <si>
    <t>Pending</t>
  </si>
  <si>
    <t>RANKX (advanced), TOPN, ALLSELECTED, KEEPFILTERS, Top/Bottom Doctors &amp; Departments, Patient Segmentation</t>
  </si>
  <si>
    <t>Level 7</t>
  </si>
  <si>
    <t>Virtual Tables</t>
  </si>
  <si>
    <t>SUMMARIZE, ADDCOLUMNS, GROUPBY, SELECTCOLUMNS, GENERATE, Dept/Doctor Summary tables, Cohort Analysis</t>
  </si>
  <si>
    <t>Level 8</t>
  </si>
  <si>
    <t>Advanced Healthcare Analytics</t>
  </si>
  <si>
    <t>Bed Occupancy, full Readmission Rate suite, ICU Utilization, Mortality, Patient Turnover, Capacity Planning</t>
  </si>
  <si>
    <t>Level 9</t>
  </si>
  <si>
    <t>Performance Optimization</t>
  </si>
  <si>
    <t>DAX Studio, Formula/Storage Engine tuning, Performance Analyzer, efficient FILTER &amp; iterator usage</t>
  </si>
  <si>
    <t>Level 10</t>
  </si>
  <si>
    <t>Enterprise Healthcare Dashboard</t>
  </si>
  <si>
    <t>Executive/Finance/Clinical dashboards, forecasting, drill-through, dynamic titles, tooltips</t>
  </si>
  <si>
    <t>TOTAL (Levels 1-5)</t>
  </si>
  <si>
    <t>Level 1 — Basic Aggregation Measures</t>
  </si>
  <si>
    <t>Core Topics: SUM · COUNT · COUNTROWS · AVERAGE · DIVIDE</t>
  </si>
  <si>
    <t>Status: Completed</t>
  </si>
  <si>
    <t>MEASURES CREATED</t>
  </si>
  <si>
    <t>Measure Name</t>
  </si>
  <si>
    <t>DAX Expression</t>
  </si>
  <si>
    <t>Business Objective</t>
  </si>
  <si>
    <t>Reuses Existing Measure(s)</t>
  </si>
  <si>
    <t>treatment_revenue</t>
  </si>
  <si>
    <t>SUM(FactAdmissions[TreatmentCost])</t>
  </si>
  <si>
    <t>Total revenue generated from patient treatments.</t>
  </si>
  <si>
    <t>-</t>
  </si>
  <si>
    <t>los</t>
  </si>
  <si>
    <t>AVERAGE(FactAdmissions[LengthOfStay])</t>
  </si>
  <si>
    <t>Average length of stay across admissions.</t>
  </si>
  <si>
    <t>total_admissions</t>
  </si>
  <si>
    <t>COUNTROWS(FactAdmissions)</t>
  </si>
  <si>
    <t>Total number of hospital admissions.</t>
  </si>
  <si>
    <t>avg treatment cost per admission</t>
  </si>
  <si>
    <t>DIVIDE([treatment_revenue],[total_admissions])</t>
  </si>
  <si>
    <t>Average treatment cost incurred per admission.</t>
  </si>
  <si>
    <t>treatment_revenue, total_admissions</t>
  </si>
  <si>
    <t>ICU Admission Rate</t>
  </si>
  <si>
    <t>DIVIDE(COUNTROWS(FILTER(FactAdmissions,FactAdmissions[ICUFlag]=1)),[total_admissions])</t>
  </si>
  <si>
    <t>Proportion of admissions that required ICU care.</t>
  </si>
  <si>
    <t>CALCULATED COLUMNS CREATED</t>
  </si>
  <si>
    <t>Table Name</t>
  </si>
  <si>
    <t>Column Name</t>
  </si>
  <si>
    <t>Purpose</t>
  </si>
  <si>
    <t>FactAdmissions</t>
  </si>
  <si>
    <t>Stay Category</t>
  </si>
  <si>
    <t>IF(FactAdmissions[LengthOfStay]&lt;3,"Short Stay",IF(FactAdmissions[LengthOfStay]&gt;=3 &amp;&amp; FactAdmissions[LengthOfStay]&lt;=7,"Standard Stay","Long Stay"))</t>
  </si>
  <si>
    <t>Buckets admissions into stay-duration categories.</t>
  </si>
  <si>
    <t>DimDepartment</t>
  </si>
  <si>
    <t>BedCapacity</t>
  </si>
  <si>
    <t>SWITCH(DimDepartment[DepartmentName],"Cardiology",30,"Orthopedics",40,"Neurology",25,"Oncology",35,"Pediatrics",20,"General Surgery",45,"Emergency",15,"Obstetrics &amp; Gynecology",30,"Gastroenterology",20,"Nephrology",15,"Pulmonology",25,"Psychiatry",20,0)</t>
  </si>
  <si>
    <t>Assigns bed capacity per department.</t>
  </si>
  <si>
    <t>DimPatient</t>
  </si>
  <si>
    <t>InsuranceType</t>
  </si>
  <si>
    <t>SWITCH(TRUE(),MOD(DimPatient[PatientKey],3)=0,"Government",MOD(DimPatient[PatientKey],3)=1,"Private","Self-Pay")</t>
  </si>
  <si>
    <t>Derives patient insurance type.</t>
  </si>
  <si>
    <t>DimDate</t>
  </si>
  <si>
    <t>YearMonth</t>
  </si>
  <si>
    <t>FORMAT(DimDate[Date],"YYYY MMM")</t>
  </si>
  <si>
    <t>Year-Month label used for chronological sorting/axes.</t>
  </si>
  <si>
    <t>Level 2 — CALCULATE &amp; Filter Context</t>
  </si>
  <si>
    <t>Core Topics: CALCULATE · Filter Context · ALL · Fixed Measures · % Calculations</t>
  </si>
  <si>
    <t>Emergency Revenue</t>
  </si>
  <si>
    <t>CALCULATE([treatment_revenue],FactAdmissions[AdmissionType]="Emergency")</t>
  </si>
  <si>
    <t>Revenue generated specifically from Emergency admissions.</t>
  </si>
  <si>
    <t>Non Emergency Revenue</t>
  </si>
  <si>
    <t>CALCULATE([treatment_revenue],FactAdmissions[AdmissionType]&lt;&gt;"Emergency")</t>
  </si>
  <si>
    <t>Revenue generated from all non-Emergency admissions.</t>
  </si>
  <si>
    <t>Department Revenue % of Hospital</t>
  </si>
  <si>
    <t>DIVIDE([treatment_revenue],CALCULATE([treatment_revenue],ALL(DimDepartment)))</t>
  </si>
  <si>
    <t>Each department's revenue share of total hospital revenue.</t>
  </si>
  <si>
    <t>Avg LOS - Seniors</t>
  </si>
  <si>
    <t>CALCULATE(AVERAGE(FactAdmissions[LengthOfStay]),DimPatient[AgeGroup]="65+")</t>
  </si>
  <si>
    <t>Average length of stay fixed to senior (65+) patients regardless of slicer context.</t>
  </si>
  <si>
    <t>Male Admissions (Fixed)</t>
  </si>
  <si>
    <t>CALCULATE(COUNTROWS(FactAdmissions),DimPatient[Gender]="Male")</t>
  </si>
  <si>
    <t>Admission count fixed to Male patients, ignoring other gender filters in the report.</t>
  </si>
  <si>
    <t>Readmission Rate (Non-Emergency)</t>
  </si>
  <si>
    <t>DIVIDE(CALCULATE(COUNTROWS(FactAdmissions),FactAdmissions[AdmissionType]&lt;&gt;"Emergency",FactAdmissions[ReadmissionFlag]=1),CALCULATE(COUNTROWS(FactAdmissions),FactAdmissions[AdmissionType]&lt;&gt;"Emergency"))</t>
  </si>
  <si>
    <t>Readmission percentage among non-emergency admissions using multiple filters.</t>
  </si>
  <si>
    <t>No new calculated columns introduced in this level.</t>
  </si>
  <si>
    <t>Level 3 — Time Intelligence</t>
  </si>
  <si>
    <t>Core Topics: TOTALYTD · TOTALQTD · TOTALMTD · SAMEPERIODLASTYEAR · DATEADD · Rolling Windows · MoM/YoY</t>
  </si>
  <si>
    <t>Total Treatment Cost YTD</t>
  </si>
  <si>
    <t>TOTALYTD([treatment_revenue],DimDate[Date])</t>
  </si>
  <si>
    <t>Year-to-date treatment revenue.</t>
  </si>
  <si>
    <t>Total Admissions YTD</t>
  </si>
  <si>
    <t>TOTALYTD([total_admissions],DimDate[Date])</t>
  </si>
  <si>
    <t>Year-to-date admission count.</t>
  </si>
  <si>
    <t>Previous Month Admissions</t>
  </si>
  <si>
    <t>CALCULATE([total_admissions],PREVIOUSMONTH(DimDate[Date]))</t>
  </si>
  <si>
    <t>Admission count for the prior month.</t>
  </si>
  <si>
    <t>Month-over-Month (MoM) Admission Growth %</t>
  </si>
  <si>
    <t>VAR CurrentAdmissions = [total_admissions]
VAR PreviousAdmissions = [Previous Month Admissions]
RETURN DIVIDE(CurrentAdmissions - PreviousAdmissions, PreviousAdmissions)</t>
  </si>
  <si>
    <t>Percentage growth in admissions vs previous month.</t>
  </si>
  <si>
    <t>total_admissions, Previous Month Admissions</t>
  </si>
  <si>
    <t>Previous Year Treatment Cost</t>
  </si>
  <si>
    <t>CALCULATE([treatment_revenue],SAMEPERIODLASTYEAR(DimDate[Date]))</t>
  </si>
  <si>
    <t>Treatment revenue for the same period last year.</t>
  </si>
  <si>
    <t>YoY Treatment Revenue Growth %</t>
  </si>
  <si>
    <t>DIVIDE([treatment_revenue]-[Previous Year Treatment Cost],[Previous Year Treatment Cost])</t>
  </si>
  <si>
    <t>Year-over-year revenue growth percentage.</t>
  </si>
  <si>
    <t>treatment_revenue, Previous Year Treatment Cost</t>
  </si>
  <si>
    <t>Rolling 30-Day Admissions</t>
  </si>
  <si>
    <t>CALCULATE([total_admissions],DATESINPERIOD(DimDate[Date],MAX(DimDate[Date]),-30,MONTH))</t>
  </si>
  <si>
    <t>Admissions in the trailing 30-day window.</t>
  </si>
  <si>
    <t>Rolling 90-Day Treatment Revenue</t>
  </si>
  <si>
    <t>CALCULATE([treatment_revenue],DATESINPERIOD(DimDate[Date],MAX(DimDate[Date]),-90,DAY))</t>
  </si>
  <si>
    <t>Revenue in the trailing 90-day window.</t>
  </si>
  <si>
    <t>Running Total Admissions</t>
  </si>
  <si>
    <t>CALCULATE([total_admissions],FILTER(ALL(DimDate[Date]),DimDate[Date]&lt;=MAX(DimDate[Date])))</t>
  </si>
  <si>
    <t>Cumulative running total of admissions over time.</t>
  </si>
  <si>
    <t>Treatment Revenue QTD</t>
  </si>
  <si>
    <t>TOTALQTD([treatment_revenue],DimDate[Date])</t>
  </si>
  <si>
    <t>Quarter-to-date treatment revenue.</t>
  </si>
  <si>
    <t>Treatment Revenue MTD</t>
  </si>
  <si>
    <t>TOTALMTD([treatment_revenue],DimDate[Date])</t>
  </si>
  <si>
    <t>Month-to-date treatment revenue.</t>
  </si>
  <si>
    <t>Previous Year YTD Treatment Revenue</t>
  </si>
  <si>
    <t>CALCULATE([Total Treatment Cost YTD],SAMEPERIODLASTYEAR(DimDate[Date]))</t>
  </si>
  <si>
    <t>YTD treatment revenue as of the same point last year.</t>
  </si>
  <si>
    <t>Level 4 — Evaluation Context &amp; Iterators</t>
  </si>
  <si>
    <t>Core Topics: Row/Filter/Evaluation Context · Context Transition · SUMX/AVERAGEX/COUNTX/MAXX/RANKX · VAR/RETURN</t>
  </si>
  <si>
    <t>Average Revenue per Doctor</t>
  </si>
  <si>
    <t>AVERAGEX(VALUES(DimDoctor[DoctorKey]),[treatment_revenue])</t>
  </si>
  <si>
    <t>Average treatment revenue attributable per doctor.</t>
  </si>
  <si>
    <t>Revenue per Specialty</t>
  </si>
  <si>
    <t>AVERAGEX(VALUES(DimDoctor[Specialty]),[treatment_revenue])</t>
  </si>
  <si>
    <t>Average treatment revenue per medical specialty.</t>
  </si>
  <si>
    <t>Average Cost per Patient</t>
  </si>
  <si>
    <t>AVERAGEX(VALUES(DimPatient[PatientKey]),[treatment_revenue])</t>
  </si>
  <si>
    <t>Average treatment cost incurred per unique patient.</t>
  </si>
  <si>
    <t>Average LOS by Department</t>
  </si>
  <si>
    <t>AVERAGEX(VALUES(DimDepartment[DepartmentName]),[los])</t>
  </si>
  <si>
    <t>Average length of stay broken out by department.</t>
  </si>
  <si>
    <t>Weighted Average Treatment Cost</t>
  </si>
  <si>
    <t>Revenue-weighted average treatment cost.</t>
  </si>
  <si>
    <t>Average Revenue per Bed</t>
  </si>
  <si>
    <t>DIVIDE([treatment_revenue],SUM(DimDepartment[BedCapacity]))</t>
  </si>
  <si>
    <t>Revenue efficiency per hospital bed.</t>
  </si>
  <si>
    <t>Doctor Productivity</t>
  </si>
  <si>
    <t>AVERAGEX(VALUES(DimDoctor[DoctorName]),[total_admissions])</t>
  </si>
  <si>
    <t>Average admissions handled per doctor.</t>
  </si>
  <si>
    <t>Patient Mix Analysis</t>
  </si>
  <si>
    <t>DIVIDE([total_admissions],CALCULATE([total_admissions],ALL(DimPatient[InsuranceType])))</t>
  </si>
  <si>
    <t>Share of admissions by insurance-type segment vs all patients.</t>
  </si>
  <si>
    <t>Insurance Performance</t>
  </si>
  <si>
    <t>Average revenue generated per admission by insurance segment.</t>
  </si>
  <si>
    <t>Total Insurance Payout Variance</t>
  </si>
  <si>
    <t>SUMX(FactAdmissions, FactAdmissions[TreatmentCost] - FactAdmissions[InsuranceAmount])</t>
  </si>
  <si>
    <t>Total gap between treatment cost and insurance payout (out-of-pocket burden).</t>
  </si>
  <si>
    <t>High-Cost Admission Count</t>
  </si>
  <si>
    <t>COUNTX(FILTER(FactAdmissions,FactAdmissions[TreatmentCost]&gt;50000),FactAdmissions[AdmissionID])</t>
  </si>
  <si>
    <t>Count of admissions exceeding a high-cost threshold.</t>
  </si>
  <si>
    <t>Max LOS</t>
  </si>
  <si>
    <t>MAX(FactAdmissions[LengthOfStay])</t>
  </si>
  <si>
    <t>Longest single length of stay recorded.</t>
  </si>
  <si>
    <t>Max Doctor Revenue</t>
  </si>
  <si>
    <t>MAXX(VALUES(DimDoctor[DoctorKey]),[treatment_revenue])</t>
  </si>
  <si>
    <t>Highest treatment revenue generated by any single doctor.</t>
  </si>
  <si>
    <t>Doctor Revenue Rank</t>
  </si>
  <si>
    <t>RANKX(ALL(DimDoctor),CALCULATE([treatment_revenue]),,DESC)</t>
  </si>
  <si>
    <t>Ranks doctors by treatment revenue generated (context transition via CALCULATE inside RANKX).</t>
  </si>
  <si>
    <t>Level 5 — Relationships &amp; Advanced Filtering</t>
  </si>
  <si>
    <t>Core Topics: RELATED · RELATEDTABLE · USERELATIONSHIP · CROSSFILTER · LOOKUPVALUE · TREATAS</t>
  </si>
  <si>
    <t>Benchmark Insurance Revenue</t>
  </si>
  <si>
    <t>CALCULATE([treatment_revenue],TREATAS(VALUES('Insurance Benchmark'[InsuranceType]),DimPatient[InsuranceType]))</t>
  </si>
  <si>
    <t>Revenue for insurance types matched from an external benchmark table without a physical relationship.</t>
  </si>
  <si>
    <t>Total Discharges</t>
  </si>
  <si>
    <t>CALCULATE([total_admissions],USERELATIONSHIP(DimDate[Date],FactAdmissions[DischargeDate]))</t>
  </si>
  <si>
    <t>Total admissions counted by Discharge Date instead of Admission Date.</t>
  </si>
  <si>
    <t>Previous Month Admissions based on Discharge Date</t>
  </si>
  <si>
    <t>CALCULATE([total_admissions],PREVIOUSMONTH(DimDate[Date]),USERELATIONSHIP(DimDate[Date],FactAdmissions[DischargeDate]))</t>
  </si>
  <si>
    <t>Prior month admissions using the Discharge Date relationship.</t>
  </si>
  <si>
    <t>Previous Month Treatment Revenue based on Discharge Date</t>
  </si>
  <si>
    <t>CALCULATE([treatment_revenue],PREVIOUSMONTH(DimDate[Date]),USERELATIONSHIP(DimDate[Date],FactAdmissions[DischargeDate]))</t>
  </si>
  <si>
    <t>Prior month revenue using the Discharge Date relationship.</t>
  </si>
  <si>
    <t>Treatment Revenue by Discharge Date</t>
  </si>
  <si>
    <t>CALCULATE([treatment_revenue],USERELATIONSHIP(DimDate[Date],FactAdmissions[DischargeDate]))</t>
  </si>
  <si>
    <t>Treatment revenue analyzed against Discharge Date rather than Admission Date.</t>
  </si>
  <si>
    <t>Departments with Admissions</t>
  </si>
  <si>
    <t>CALCULATE([total_admissions],CROSSFILTER(FactAdmissions[DepartmentKey],DimDepartment[DepartmentKey],BOTH))</t>
  </si>
  <si>
    <t>Admissions total using bidirectional cross-filtering between Fact and Department dimension.</t>
  </si>
  <si>
    <t>Dept Name</t>
  </si>
  <si>
    <t>RELATED(DimDepartment[DepartmentName])</t>
  </si>
  <si>
    <t>Pulls department name onto the fact row via RELATED.</t>
  </si>
  <si>
    <t>COUNTROWS(RELATEDTABLE(FactAdmissions))</t>
  </si>
  <si>
    <t>Counts related fact rows per department using RELATEDTABLE.</t>
  </si>
  <si>
    <t>Reimbursement Rate</t>
  </si>
  <si>
    <t>LOOKUPVALUE(InsuranceRates[ReimbursementRate],InsuranceRates[InsuranceType],RELATED(DimPatient[InsuranceType]))</t>
  </si>
  <si>
    <t>Looks up reimbursement rate from a separate rates table based on patient insurance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</si>
</sst>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2"/>
      <color rgb="FFFFFFFF"/>
      <name val="Arial"/>
      <charset val="1"/>
    </font>
    <font>
      <sz val="9"/>
      <name val="Consolas"/>
      <charset val="1"/>
    </font>
    <font>
      <i/>
      <sz val="10"/>
      <color rgb="FF80808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5" borderId="0" xfId="0" applyFont="1" applyFill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7" fillId="4" borderId="1" xfId="0" applyFont="1" applyFill="1" applyBorder="1"/>
    <xf numFmtId="0" fontId="4" fillId="0" borderId="0" xfId="0" applyFont="1"/>
    <xf numFmtId="0" fontId="6" fillId="0" borderId="0" xfId="0" applyFont="1"/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2" width="32" customWidth="1"/>
    <col min="3" max="3" width="14" customWidth="1"/>
    <col min="4" max="4" width="16" customWidth="1"/>
    <col min="5" max="5" width="22" customWidth="1"/>
    <col min="6" max="6" width="60" customWidth="1"/>
  </cols>
  <sheetData>
    <row r="1" spans="1:6" ht="21" x14ac:dyDescent="0.4">
      <c r="A1" s="2" t="s">
        <v>0</v>
      </c>
    </row>
    <row r="2" spans="1:6" x14ac:dyDescent="0.3">
      <c r="A2" s="3" t="s">
        <v>1</v>
      </c>
    </row>
    <row r="4" spans="1:6" ht="27.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5" t="s">
        <v>8</v>
      </c>
      <c r="B5" s="6" t="s">
        <v>9</v>
      </c>
      <c r="C5" s="7" t="s">
        <v>10</v>
      </c>
      <c r="D5" s="6">
        <v>5</v>
      </c>
      <c r="E5" s="6">
        <v>4</v>
      </c>
      <c r="F5" s="8" t="s">
        <v>11</v>
      </c>
    </row>
    <row r="6" spans="1:6" x14ac:dyDescent="0.3">
      <c r="A6" s="5" t="s">
        <v>12</v>
      </c>
      <c r="B6" s="6" t="s">
        <v>13</v>
      </c>
      <c r="C6" s="7" t="s">
        <v>10</v>
      </c>
      <c r="D6" s="6">
        <v>6</v>
      </c>
      <c r="E6" s="6">
        <v>0</v>
      </c>
      <c r="F6" s="8" t="s">
        <v>11</v>
      </c>
    </row>
    <row r="7" spans="1:6" x14ac:dyDescent="0.3">
      <c r="A7" s="5" t="s">
        <v>14</v>
      </c>
      <c r="B7" s="6" t="s">
        <v>15</v>
      </c>
      <c r="C7" s="7" t="s">
        <v>10</v>
      </c>
      <c r="D7" s="6">
        <v>12</v>
      </c>
      <c r="E7" s="6">
        <v>0</v>
      </c>
      <c r="F7" s="8" t="s">
        <v>11</v>
      </c>
    </row>
    <row r="8" spans="1:6" x14ac:dyDescent="0.3">
      <c r="A8" s="5" t="s">
        <v>16</v>
      </c>
      <c r="B8" s="6" t="s">
        <v>17</v>
      </c>
      <c r="C8" s="7" t="s">
        <v>10</v>
      </c>
      <c r="D8" s="6">
        <v>14</v>
      </c>
      <c r="E8" s="6">
        <v>0</v>
      </c>
      <c r="F8" s="8" t="s">
        <v>11</v>
      </c>
    </row>
    <row r="9" spans="1:6" x14ac:dyDescent="0.3">
      <c r="A9" s="5" t="s">
        <v>18</v>
      </c>
      <c r="B9" s="6" t="s">
        <v>19</v>
      </c>
      <c r="C9" s="7" t="s">
        <v>10</v>
      </c>
      <c r="D9" s="6">
        <v>6</v>
      </c>
      <c r="E9" s="6">
        <v>3</v>
      </c>
      <c r="F9" s="8" t="s">
        <v>11</v>
      </c>
    </row>
    <row r="10" spans="1:6" ht="26.4" x14ac:dyDescent="0.3">
      <c r="A10" s="5" t="s">
        <v>20</v>
      </c>
      <c r="B10" s="6" t="s">
        <v>21</v>
      </c>
      <c r="C10" s="9" t="s">
        <v>22</v>
      </c>
      <c r="D10" s="6">
        <v>0</v>
      </c>
      <c r="E10" s="6">
        <v>0</v>
      </c>
      <c r="F10" s="8" t="s">
        <v>23</v>
      </c>
    </row>
    <row r="11" spans="1:6" ht="26.4" x14ac:dyDescent="0.3">
      <c r="A11" s="5" t="s">
        <v>24</v>
      </c>
      <c r="B11" s="6" t="s">
        <v>25</v>
      </c>
      <c r="C11" s="9" t="s">
        <v>22</v>
      </c>
      <c r="D11" s="6">
        <v>0</v>
      </c>
      <c r="E11" s="6">
        <v>0</v>
      </c>
      <c r="F11" s="8" t="s">
        <v>26</v>
      </c>
    </row>
    <row r="12" spans="1:6" ht="26.4" x14ac:dyDescent="0.3">
      <c r="A12" s="5" t="s">
        <v>27</v>
      </c>
      <c r="B12" s="6" t="s">
        <v>28</v>
      </c>
      <c r="C12" s="9" t="s">
        <v>22</v>
      </c>
      <c r="D12" s="6">
        <v>0</v>
      </c>
      <c r="E12" s="6">
        <v>0</v>
      </c>
      <c r="F12" s="8" t="s">
        <v>29</v>
      </c>
    </row>
    <row r="13" spans="1:6" ht="26.4" x14ac:dyDescent="0.3">
      <c r="A13" s="5" t="s">
        <v>30</v>
      </c>
      <c r="B13" s="6" t="s">
        <v>31</v>
      </c>
      <c r="C13" s="9" t="s">
        <v>22</v>
      </c>
      <c r="D13" s="6">
        <v>0</v>
      </c>
      <c r="E13" s="6">
        <v>0</v>
      </c>
      <c r="F13" s="8" t="s">
        <v>32</v>
      </c>
    </row>
    <row r="14" spans="1:6" ht="26.4" x14ac:dyDescent="0.3">
      <c r="A14" s="5" t="s">
        <v>33</v>
      </c>
      <c r="B14" s="6" t="s">
        <v>34</v>
      </c>
      <c r="C14" s="9" t="s">
        <v>22</v>
      </c>
      <c r="D14" s="6">
        <v>0</v>
      </c>
      <c r="E14" s="6">
        <v>0</v>
      </c>
      <c r="F14" s="8" t="s">
        <v>35</v>
      </c>
    </row>
    <row r="16" spans="1:6" x14ac:dyDescent="0.3">
      <c r="A16" s="10" t="s">
        <v>36</v>
      </c>
      <c r="D16" s="10">
        <f>SUM(D5:D9)</f>
        <v>43</v>
      </c>
      <c r="E16" s="10">
        <f>SUM(E5:E9)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zoomScaleNormal="100" workbookViewId="0">
      <pane ySplit="5" topLeftCell="A10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60" customWidth="1"/>
    <col min="3" max="3" width="45" customWidth="1"/>
    <col min="4" max="4" width="30" customWidth="1"/>
  </cols>
  <sheetData>
    <row r="1" spans="1:4" ht="21" x14ac:dyDescent="0.4">
      <c r="A1" s="2" t="s">
        <v>37</v>
      </c>
    </row>
    <row r="2" spans="1:4" x14ac:dyDescent="0.3">
      <c r="A2" s="3" t="s">
        <v>38</v>
      </c>
    </row>
    <row r="3" spans="1:4" x14ac:dyDescent="0.3">
      <c r="A3" s="11" t="s">
        <v>39</v>
      </c>
    </row>
    <row r="5" spans="1:4" ht="15.6" x14ac:dyDescent="0.3">
      <c r="A5" s="1" t="s">
        <v>40</v>
      </c>
      <c r="B5" s="1"/>
      <c r="C5" s="1"/>
      <c r="D5" s="1"/>
    </row>
    <row r="6" spans="1:4" x14ac:dyDescent="0.3">
      <c r="A6" s="4" t="s">
        <v>41</v>
      </c>
      <c r="B6" s="4" t="s">
        <v>42</v>
      </c>
      <c r="C6" s="4" t="s">
        <v>43</v>
      </c>
      <c r="D6" s="4" t="s">
        <v>44</v>
      </c>
    </row>
    <row r="7" spans="1:4" x14ac:dyDescent="0.3">
      <c r="A7" s="12" t="s">
        <v>45</v>
      </c>
      <c r="B7" s="13" t="s">
        <v>46</v>
      </c>
      <c r="C7" s="8" t="s">
        <v>47</v>
      </c>
      <c r="D7" s="8" t="s">
        <v>48</v>
      </c>
    </row>
    <row r="8" spans="1:4" x14ac:dyDescent="0.3">
      <c r="A8" s="12" t="s">
        <v>49</v>
      </c>
      <c r="B8" s="13" t="s">
        <v>50</v>
      </c>
      <c r="C8" s="8" t="s">
        <v>51</v>
      </c>
      <c r="D8" s="8" t="s">
        <v>48</v>
      </c>
    </row>
    <row r="9" spans="1:4" x14ac:dyDescent="0.3">
      <c r="A9" s="12" t="s">
        <v>52</v>
      </c>
      <c r="B9" s="13" t="s">
        <v>53</v>
      </c>
      <c r="C9" s="8" t="s">
        <v>54</v>
      </c>
      <c r="D9" s="8" t="s">
        <v>48</v>
      </c>
    </row>
    <row r="10" spans="1:4" ht="26.4" x14ac:dyDescent="0.3">
      <c r="A10" s="12" t="s">
        <v>55</v>
      </c>
      <c r="B10" s="13" t="s">
        <v>56</v>
      </c>
      <c r="C10" s="8" t="s">
        <v>57</v>
      </c>
      <c r="D10" s="8" t="s">
        <v>58</v>
      </c>
    </row>
    <row r="11" spans="1:4" ht="24" x14ac:dyDescent="0.3">
      <c r="A11" s="12" t="s">
        <v>59</v>
      </c>
      <c r="B11" s="13" t="s">
        <v>60</v>
      </c>
      <c r="C11" s="8" t="s">
        <v>61</v>
      </c>
      <c r="D11" s="8" t="s">
        <v>52</v>
      </c>
    </row>
    <row r="13" spans="1:4" ht="15.6" x14ac:dyDescent="0.3">
      <c r="A13" s="1" t="s">
        <v>62</v>
      </c>
      <c r="B13" s="1"/>
      <c r="C13" s="1"/>
      <c r="D13" s="1"/>
    </row>
    <row r="14" spans="1:4" x14ac:dyDescent="0.3">
      <c r="A14" s="4" t="s">
        <v>63</v>
      </c>
      <c r="B14" s="4" t="s">
        <v>64</v>
      </c>
      <c r="C14" s="4" t="s">
        <v>42</v>
      </c>
      <c r="D14" s="4" t="s">
        <v>65</v>
      </c>
    </row>
    <row r="15" spans="1:4" ht="48" x14ac:dyDescent="0.3">
      <c r="A15" s="14" t="s">
        <v>66</v>
      </c>
      <c r="B15" s="15" t="s">
        <v>67</v>
      </c>
      <c r="C15" s="16" t="s">
        <v>68</v>
      </c>
      <c r="D15" s="14" t="s">
        <v>69</v>
      </c>
    </row>
    <row r="16" spans="1:4" ht="72" x14ac:dyDescent="0.3">
      <c r="A16" s="14" t="s">
        <v>70</v>
      </c>
      <c r="B16" s="15" t="s">
        <v>71</v>
      </c>
      <c r="C16" s="16" t="s">
        <v>72</v>
      </c>
      <c r="D16" s="14" t="s">
        <v>73</v>
      </c>
    </row>
    <row r="17" spans="1:4" ht="36" x14ac:dyDescent="0.3">
      <c r="A17" s="14" t="s">
        <v>74</v>
      </c>
      <c r="B17" s="15" t="s">
        <v>75</v>
      </c>
      <c r="C17" s="16" t="s">
        <v>76</v>
      </c>
      <c r="D17" s="14" t="s">
        <v>77</v>
      </c>
    </row>
    <row r="18" spans="1:4" ht="26.4" x14ac:dyDescent="0.3">
      <c r="A18" s="14" t="s">
        <v>78</v>
      </c>
      <c r="B18" s="15" t="s">
        <v>79</v>
      </c>
      <c r="C18" s="16" t="s">
        <v>80</v>
      </c>
      <c r="D18" s="14" t="s">
        <v>81</v>
      </c>
    </row>
  </sheetData>
  <mergeCells count="2">
    <mergeCell ref="A5:D5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60" customWidth="1"/>
    <col min="3" max="3" width="45" customWidth="1"/>
    <col min="4" max="4" width="30" customWidth="1"/>
  </cols>
  <sheetData>
    <row r="1" spans="1:4" ht="21" x14ac:dyDescent="0.4">
      <c r="A1" s="2" t="s">
        <v>82</v>
      </c>
    </row>
    <row r="2" spans="1:4" x14ac:dyDescent="0.3">
      <c r="A2" s="3" t="s">
        <v>83</v>
      </c>
    </row>
    <row r="3" spans="1:4" x14ac:dyDescent="0.3">
      <c r="A3" s="11" t="s">
        <v>39</v>
      </c>
    </row>
    <row r="5" spans="1:4" ht="15.6" x14ac:dyDescent="0.3">
      <c r="A5" s="1" t="s">
        <v>40</v>
      </c>
      <c r="B5" s="1"/>
      <c r="C5" s="1"/>
      <c r="D5" s="1"/>
    </row>
    <row r="6" spans="1:4" x14ac:dyDescent="0.3">
      <c r="A6" s="4" t="s">
        <v>41</v>
      </c>
      <c r="B6" s="4" t="s">
        <v>42</v>
      </c>
      <c r="C6" s="4" t="s">
        <v>43</v>
      </c>
      <c r="D6" s="4" t="s">
        <v>44</v>
      </c>
    </row>
    <row r="7" spans="1:4" ht="26.4" x14ac:dyDescent="0.3">
      <c r="A7" s="12" t="s">
        <v>84</v>
      </c>
      <c r="B7" s="13" t="s">
        <v>85</v>
      </c>
      <c r="C7" s="8" t="s">
        <v>86</v>
      </c>
      <c r="D7" s="8" t="s">
        <v>45</v>
      </c>
    </row>
    <row r="8" spans="1:4" ht="26.4" x14ac:dyDescent="0.3">
      <c r="A8" s="12" t="s">
        <v>87</v>
      </c>
      <c r="B8" s="13" t="s">
        <v>88</v>
      </c>
      <c r="C8" s="8" t="s">
        <v>89</v>
      </c>
      <c r="D8" s="8" t="s">
        <v>45</v>
      </c>
    </row>
    <row r="9" spans="1:4" ht="26.4" x14ac:dyDescent="0.3">
      <c r="A9" s="12" t="s">
        <v>90</v>
      </c>
      <c r="B9" s="13" t="s">
        <v>91</v>
      </c>
      <c r="C9" s="8" t="s">
        <v>92</v>
      </c>
      <c r="D9" s="8" t="s">
        <v>45</v>
      </c>
    </row>
    <row r="10" spans="1:4" ht="26.4" x14ac:dyDescent="0.3">
      <c r="A10" s="12" t="s">
        <v>93</v>
      </c>
      <c r="B10" s="13" t="s">
        <v>94</v>
      </c>
      <c r="C10" s="8" t="s">
        <v>95</v>
      </c>
      <c r="D10" s="8" t="s">
        <v>48</v>
      </c>
    </row>
    <row r="11" spans="1:4" ht="26.4" x14ac:dyDescent="0.3">
      <c r="A11" s="12" t="s">
        <v>96</v>
      </c>
      <c r="B11" s="13" t="s">
        <v>97</v>
      </c>
      <c r="C11" s="8" t="s">
        <v>98</v>
      </c>
      <c r="D11" s="8" t="s">
        <v>48</v>
      </c>
    </row>
    <row r="12" spans="1:4" ht="48" x14ac:dyDescent="0.3">
      <c r="A12" s="12" t="s">
        <v>99</v>
      </c>
      <c r="B12" s="13" t="s">
        <v>100</v>
      </c>
      <c r="C12" s="8" t="s">
        <v>101</v>
      </c>
      <c r="D12" s="8" t="s">
        <v>48</v>
      </c>
    </row>
    <row r="14" spans="1:4" ht="15.6" x14ac:dyDescent="0.3">
      <c r="A14" s="1" t="s">
        <v>62</v>
      </c>
      <c r="B14" s="1"/>
      <c r="C14" s="1"/>
      <c r="D14" s="1"/>
    </row>
    <row r="15" spans="1:4" x14ac:dyDescent="0.3">
      <c r="A15" s="17" t="s">
        <v>102</v>
      </c>
    </row>
  </sheetData>
  <mergeCells count="2">
    <mergeCell ref="A5:D5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60" customWidth="1"/>
    <col min="3" max="3" width="45" customWidth="1"/>
    <col min="4" max="4" width="30" customWidth="1"/>
  </cols>
  <sheetData>
    <row r="1" spans="1:4" ht="21" x14ac:dyDescent="0.4">
      <c r="A1" s="2" t="s">
        <v>103</v>
      </c>
    </row>
    <row r="2" spans="1:4" x14ac:dyDescent="0.3">
      <c r="A2" s="3" t="s">
        <v>104</v>
      </c>
    </row>
    <row r="3" spans="1:4" x14ac:dyDescent="0.3">
      <c r="A3" s="11" t="s">
        <v>39</v>
      </c>
    </row>
    <row r="5" spans="1:4" ht="15.6" x14ac:dyDescent="0.3">
      <c r="A5" s="1" t="s">
        <v>40</v>
      </c>
      <c r="B5" s="1"/>
      <c r="C5" s="1"/>
      <c r="D5" s="1"/>
    </row>
    <row r="6" spans="1:4" x14ac:dyDescent="0.3">
      <c r="A6" s="4" t="s">
        <v>41</v>
      </c>
      <c r="B6" s="4" t="s">
        <v>42</v>
      </c>
      <c r="C6" s="4" t="s">
        <v>43</v>
      </c>
      <c r="D6" s="4" t="s">
        <v>44</v>
      </c>
    </row>
    <row r="7" spans="1:4" x14ac:dyDescent="0.3">
      <c r="A7" s="12" t="s">
        <v>105</v>
      </c>
      <c r="B7" s="13" t="s">
        <v>106</v>
      </c>
      <c r="C7" s="8" t="s">
        <v>107</v>
      </c>
      <c r="D7" s="8" t="s">
        <v>45</v>
      </c>
    </row>
    <row r="8" spans="1:4" x14ac:dyDescent="0.3">
      <c r="A8" s="12" t="s">
        <v>108</v>
      </c>
      <c r="B8" s="13" t="s">
        <v>109</v>
      </c>
      <c r="C8" s="8" t="s">
        <v>110</v>
      </c>
      <c r="D8" s="8" t="s">
        <v>52</v>
      </c>
    </row>
    <row r="9" spans="1:4" x14ac:dyDescent="0.3">
      <c r="A9" s="12" t="s">
        <v>111</v>
      </c>
      <c r="B9" s="13" t="s">
        <v>112</v>
      </c>
      <c r="C9" s="8" t="s">
        <v>113</v>
      </c>
      <c r="D9" s="8" t="s">
        <v>52</v>
      </c>
    </row>
    <row r="10" spans="1:4" ht="48" x14ac:dyDescent="0.3">
      <c r="A10" s="12" t="s">
        <v>114</v>
      </c>
      <c r="B10" s="13" t="s">
        <v>115</v>
      </c>
      <c r="C10" s="8" t="s">
        <v>116</v>
      </c>
      <c r="D10" s="8" t="s">
        <v>117</v>
      </c>
    </row>
    <row r="11" spans="1:4" x14ac:dyDescent="0.3">
      <c r="A11" s="12" t="s">
        <v>118</v>
      </c>
      <c r="B11" s="13" t="s">
        <v>119</v>
      </c>
      <c r="C11" s="8" t="s">
        <v>120</v>
      </c>
      <c r="D11" s="8" t="s">
        <v>45</v>
      </c>
    </row>
    <row r="12" spans="1:4" ht="26.4" x14ac:dyDescent="0.3">
      <c r="A12" s="12" t="s">
        <v>121</v>
      </c>
      <c r="B12" s="13" t="s">
        <v>122</v>
      </c>
      <c r="C12" s="8" t="s">
        <v>123</v>
      </c>
      <c r="D12" s="8" t="s">
        <v>124</v>
      </c>
    </row>
    <row r="13" spans="1:4" ht="24" x14ac:dyDescent="0.3">
      <c r="A13" s="12" t="s">
        <v>125</v>
      </c>
      <c r="B13" s="13" t="s">
        <v>126</v>
      </c>
      <c r="C13" s="8" t="s">
        <v>127</v>
      </c>
      <c r="D13" s="8" t="s">
        <v>52</v>
      </c>
    </row>
    <row r="14" spans="1:4" ht="24" x14ac:dyDescent="0.3">
      <c r="A14" s="12" t="s">
        <v>128</v>
      </c>
      <c r="B14" s="13" t="s">
        <v>129</v>
      </c>
      <c r="C14" s="8" t="s">
        <v>130</v>
      </c>
      <c r="D14" s="8" t="s">
        <v>45</v>
      </c>
    </row>
    <row r="15" spans="1:4" ht="24" x14ac:dyDescent="0.3">
      <c r="A15" s="12" t="s">
        <v>131</v>
      </c>
      <c r="B15" s="13" t="s">
        <v>132</v>
      </c>
      <c r="C15" s="8" t="s">
        <v>133</v>
      </c>
      <c r="D15" s="8" t="s">
        <v>52</v>
      </c>
    </row>
    <row r="16" spans="1:4" x14ac:dyDescent="0.3">
      <c r="A16" s="12" t="s">
        <v>134</v>
      </c>
      <c r="B16" s="13" t="s">
        <v>135</v>
      </c>
      <c r="C16" s="8" t="s">
        <v>136</v>
      </c>
      <c r="D16" s="8" t="s">
        <v>45</v>
      </c>
    </row>
    <row r="17" spans="1:4" x14ac:dyDescent="0.3">
      <c r="A17" s="12" t="s">
        <v>137</v>
      </c>
      <c r="B17" s="13" t="s">
        <v>138</v>
      </c>
      <c r="C17" s="8" t="s">
        <v>139</v>
      </c>
      <c r="D17" s="8" t="s">
        <v>45</v>
      </c>
    </row>
    <row r="18" spans="1:4" ht="26.4" x14ac:dyDescent="0.3">
      <c r="A18" s="12" t="s">
        <v>140</v>
      </c>
      <c r="B18" s="13" t="s">
        <v>141</v>
      </c>
      <c r="C18" s="8" t="s">
        <v>142</v>
      </c>
      <c r="D18" s="8" t="s">
        <v>105</v>
      </c>
    </row>
    <row r="20" spans="1:4" ht="15.6" x14ac:dyDescent="0.3">
      <c r="A20" s="1" t="s">
        <v>62</v>
      </c>
      <c r="B20" s="1"/>
      <c r="C20" s="1"/>
      <c r="D20" s="1"/>
    </row>
    <row r="21" spans="1:4" x14ac:dyDescent="0.3">
      <c r="A21" s="17" t="s">
        <v>102</v>
      </c>
    </row>
  </sheetData>
  <mergeCells count="2">
    <mergeCell ref="A5:D5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60" customWidth="1"/>
    <col min="3" max="3" width="45" customWidth="1"/>
    <col min="4" max="4" width="30" customWidth="1"/>
  </cols>
  <sheetData>
    <row r="1" spans="1:4" ht="21" x14ac:dyDescent="0.4">
      <c r="A1" s="2" t="s">
        <v>143</v>
      </c>
    </row>
    <row r="2" spans="1:4" x14ac:dyDescent="0.3">
      <c r="A2" s="3" t="s">
        <v>144</v>
      </c>
    </row>
    <row r="3" spans="1:4" x14ac:dyDescent="0.3">
      <c r="A3" s="11" t="s">
        <v>39</v>
      </c>
    </row>
    <row r="5" spans="1:4" ht="15.6" x14ac:dyDescent="0.3">
      <c r="A5" s="1" t="s">
        <v>40</v>
      </c>
      <c r="B5" s="1"/>
      <c r="C5" s="1"/>
      <c r="D5" s="1"/>
    </row>
    <row r="6" spans="1:4" x14ac:dyDescent="0.3">
      <c r="A6" s="4" t="s">
        <v>41</v>
      </c>
      <c r="B6" s="4" t="s">
        <v>42</v>
      </c>
      <c r="C6" s="4" t="s">
        <v>43</v>
      </c>
      <c r="D6" s="4" t="s">
        <v>44</v>
      </c>
    </row>
    <row r="7" spans="1:4" x14ac:dyDescent="0.3">
      <c r="A7" s="12" t="s">
        <v>145</v>
      </c>
      <c r="B7" s="13" t="s">
        <v>146</v>
      </c>
      <c r="C7" s="8" t="s">
        <v>147</v>
      </c>
      <c r="D7" s="8" t="s">
        <v>45</v>
      </c>
    </row>
    <row r="8" spans="1:4" x14ac:dyDescent="0.3">
      <c r="A8" s="12" t="s">
        <v>148</v>
      </c>
      <c r="B8" s="13" t="s">
        <v>149</v>
      </c>
      <c r="C8" s="8" t="s">
        <v>150</v>
      </c>
      <c r="D8" s="8" t="s">
        <v>45</v>
      </c>
    </row>
    <row r="9" spans="1:4" x14ac:dyDescent="0.3">
      <c r="A9" s="12" t="s">
        <v>151</v>
      </c>
      <c r="B9" s="13" t="s">
        <v>152</v>
      </c>
      <c r="C9" s="8" t="s">
        <v>153</v>
      </c>
      <c r="D9" s="8" t="s">
        <v>45</v>
      </c>
    </row>
    <row r="10" spans="1:4" x14ac:dyDescent="0.3">
      <c r="A10" s="12" t="s">
        <v>154</v>
      </c>
      <c r="B10" s="13" t="s">
        <v>155</v>
      </c>
      <c r="C10" s="8" t="s">
        <v>156</v>
      </c>
      <c r="D10" s="8" t="s">
        <v>49</v>
      </c>
    </row>
    <row r="11" spans="1:4" ht="26.4" x14ac:dyDescent="0.3">
      <c r="A11" s="12" t="s">
        <v>157</v>
      </c>
      <c r="B11" s="13" t="s">
        <v>56</v>
      </c>
      <c r="C11" s="8" t="s">
        <v>158</v>
      </c>
      <c r="D11" s="8" t="s">
        <v>58</v>
      </c>
    </row>
    <row r="12" spans="1:4" x14ac:dyDescent="0.3">
      <c r="A12" s="12" t="s">
        <v>159</v>
      </c>
      <c r="B12" s="13" t="s">
        <v>160</v>
      </c>
      <c r="C12" s="8" t="s">
        <v>161</v>
      </c>
      <c r="D12" s="8" t="s">
        <v>45</v>
      </c>
    </row>
    <row r="13" spans="1:4" x14ac:dyDescent="0.3">
      <c r="A13" s="12" t="s">
        <v>162</v>
      </c>
      <c r="B13" s="13" t="s">
        <v>163</v>
      </c>
      <c r="C13" s="8" t="s">
        <v>164</v>
      </c>
      <c r="D13" s="8" t="s">
        <v>52</v>
      </c>
    </row>
    <row r="14" spans="1:4" ht="26.4" x14ac:dyDescent="0.3">
      <c r="A14" s="12" t="s">
        <v>165</v>
      </c>
      <c r="B14" s="13" t="s">
        <v>166</v>
      </c>
      <c r="C14" s="8" t="s">
        <v>167</v>
      </c>
      <c r="D14" s="8" t="s">
        <v>52</v>
      </c>
    </row>
    <row r="15" spans="1:4" ht="26.4" x14ac:dyDescent="0.3">
      <c r="A15" s="12" t="s">
        <v>168</v>
      </c>
      <c r="B15" s="13" t="s">
        <v>56</v>
      </c>
      <c r="C15" s="8" t="s">
        <v>169</v>
      </c>
      <c r="D15" s="8" t="s">
        <v>58</v>
      </c>
    </row>
    <row r="16" spans="1:4" ht="26.4" x14ac:dyDescent="0.3">
      <c r="A16" s="12" t="s">
        <v>170</v>
      </c>
      <c r="B16" s="13" t="s">
        <v>171</v>
      </c>
      <c r="C16" s="8" t="s">
        <v>172</v>
      </c>
      <c r="D16" s="8" t="s">
        <v>48</v>
      </c>
    </row>
    <row r="17" spans="1:4" ht="26.4" x14ac:dyDescent="0.3">
      <c r="A17" s="12" t="s">
        <v>173</v>
      </c>
      <c r="B17" s="13" t="s">
        <v>174</v>
      </c>
      <c r="C17" s="8" t="s">
        <v>175</v>
      </c>
      <c r="D17" s="8" t="s">
        <v>48</v>
      </c>
    </row>
    <row r="18" spans="1:4" x14ac:dyDescent="0.3">
      <c r="A18" s="12" t="s">
        <v>176</v>
      </c>
      <c r="B18" s="13" t="s">
        <v>177</v>
      </c>
      <c r="C18" s="8" t="s">
        <v>178</v>
      </c>
      <c r="D18" s="8" t="s">
        <v>48</v>
      </c>
    </row>
    <row r="19" spans="1:4" ht="26.4" x14ac:dyDescent="0.3">
      <c r="A19" s="12" t="s">
        <v>179</v>
      </c>
      <c r="B19" s="13" t="s">
        <v>180</v>
      </c>
      <c r="C19" s="8" t="s">
        <v>181</v>
      </c>
      <c r="D19" s="8" t="s">
        <v>45</v>
      </c>
    </row>
    <row r="20" spans="1:4" ht="26.4" x14ac:dyDescent="0.3">
      <c r="A20" s="12" t="s">
        <v>182</v>
      </c>
      <c r="B20" s="13" t="s">
        <v>183</v>
      </c>
      <c r="C20" s="8" t="s">
        <v>184</v>
      </c>
      <c r="D20" s="8" t="s">
        <v>45</v>
      </c>
    </row>
    <row r="22" spans="1:4" ht="15.6" x14ac:dyDescent="0.3">
      <c r="A22" s="1" t="s">
        <v>62</v>
      </c>
      <c r="B22" s="1"/>
      <c r="C22" s="1"/>
      <c r="D22" s="1"/>
    </row>
    <row r="23" spans="1:4" x14ac:dyDescent="0.3">
      <c r="A23" s="17" t="s">
        <v>102</v>
      </c>
    </row>
  </sheetData>
  <mergeCells count="2">
    <mergeCell ref="A5:D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60" customWidth="1"/>
    <col min="3" max="3" width="45" customWidth="1"/>
    <col min="4" max="4" width="30" customWidth="1"/>
  </cols>
  <sheetData>
    <row r="1" spans="1:4" ht="21" x14ac:dyDescent="0.4">
      <c r="A1" s="2" t="s">
        <v>185</v>
      </c>
    </row>
    <row r="2" spans="1:4" x14ac:dyDescent="0.3">
      <c r="A2" s="3" t="s">
        <v>186</v>
      </c>
    </row>
    <row r="3" spans="1:4" x14ac:dyDescent="0.3">
      <c r="A3" s="11" t="s">
        <v>39</v>
      </c>
    </row>
    <row r="5" spans="1:4" ht="15.6" x14ac:dyDescent="0.3">
      <c r="A5" s="1" t="s">
        <v>40</v>
      </c>
      <c r="B5" s="1"/>
      <c r="C5" s="1"/>
      <c r="D5" s="1"/>
    </row>
    <row r="6" spans="1:4" x14ac:dyDescent="0.3">
      <c r="A6" s="4" t="s">
        <v>41</v>
      </c>
      <c r="B6" s="4" t="s">
        <v>42</v>
      </c>
      <c r="C6" s="4" t="s">
        <v>43</v>
      </c>
      <c r="D6" s="4" t="s">
        <v>44</v>
      </c>
    </row>
    <row r="7" spans="1:4" ht="39.6" x14ac:dyDescent="0.3">
      <c r="A7" s="12" t="s">
        <v>187</v>
      </c>
      <c r="B7" s="13" t="s">
        <v>188</v>
      </c>
      <c r="C7" s="8" t="s">
        <v>189</v>
      </c>
      <c r="D7" s="8" t="s">
        <v>45</v>
      </c>
    </row>
    <row r="8" spans="1:4" ht="26.4" x14ac:dyDescent="0.3">
      <c r="A8" s="12" t="s">
        <v>190</v>
      </c>
      <c r="B8" s="13" t="s">
        <v>191</v>
      </c>
      <c r="C8" s="8" t="s">
        <v>192</v>
      </c>
      <c r="D8" s="8" t="s">
        <v>52</v>
      </c>
    </row>
    <row r="9" spans="1:4" ht="26.4" x14ac:dyDescent="0.3">
      <c r="A9" s="12" t="s">
        <v>193</v>
      </c>
      <c r="B9" s="13" t="s">
        <v>194</v>
      </c>
      <c r="C9" s="8" t="s">
        <v>195</v>
      </c>
      <c r="D9" s="8" t="s">
        <v>52</v>
      </c>
    </row>
    <row r="10" spans="1:4" ht="26.4" x14ac:dyDescent="0.3">
      <c r="A10" s="12" t="s">
        <v>196</v>
      </c>
      <c r="B10" s="13" t="s">
        <v>197</v>
      </c>
      <c r="C10" s="8" t="s">
        <v>198</v>
      </c>
      <c r="D10" s="8" t="s">
        <v>45</v>
      </c>
    </row>
    <row r="11" spans="1:4" ht="26.4" x14ac:dyDescent="0.3">
      <c r="A11" s="12" t="s">
        <v>199</v>
      </c>
      <c r="B11" s="13" t="s">
        <v>200</v>
      </c>
      <c r="C11" s="8" t="s">
        <v>201</v>
      </c>
      <c r="D11" s="8" t="s">
        <v>45</v>
      </c>
    </row>
    <row r="12" spans="1:4" ht="26.4" x14ac:dyDescent="0.3">
      <c r="A12" s="12" t="s">
        <v>202</v>
      </c>
      <c r="B12" s="13" t="s">
        <v>203</v>
      </c>
      <c r="C12" s="8" t="s">
        <v>204</v>
      </c>
      <c r="D12" s="8" t="s">
        <v>52</v>
      </c>
    </row>
    <row r="14" spans="1:4" ht="15.6" x14ac:dyDescent="0.3">
      <c r="A14" s="1" t="s">
        <v>62</v>
      </c>
      <c r="B14" s="1"/>
      <c r="C14" s="1"/>
      <c r="D14" s="1"/>
    </row>
    <row r="15" spans="1:4" x14ac:dyDescent="0.3">
      <c r="A15" s="4" t="s">
        <v>63</v>
      </c>
      <c r="B15" s="4" t="s">
        <v>64</v>
      </c>
      <c r="C15" s="4" t="s">
        <v>42</v>
      </c>
      <c r="D15" s="4" t="s">
        <v>65</v>
      </c>
    </row>
    <row r="16" spans="1:4" ht="26.4" x14ac:dyDescent="0.3">
      <c r="A16" s="14" t="s">
        <v>66</v>
      </c>
      <c r="B16" s="15" t="s">
        <v>205</v>
      </c>
      <c r="C16" s="16" t="s">
        <v>206</v>
      </c>
      <c r="D16" s="14" t="s">
        <v>207</v>
      </c>
    </row>
    <row r="17" spans="1:4" ht="39.6" x14ac:dyDescent="0.3">
      <c r="A17" s="14" t="s">
        <v>70</v>
      </c>
      <c r="B17" s="15" t="s">
        <v>202</v>
      </c>
      <c r="C17" s="16" t="s">
        <v>208</v>
      </c>
      <c r="D17" s="14" t="s">
        <v>209</v>
      </c>
    </row>
    <row r="18" spans="1:4" ht="39.6" x14ac:dyDescent="0.3">
      <c r="A18" s="14" t="s">
        <v>66</v>
      </c>
      <c r="B18" s="15" t="s">
        <v>210</v>
      </c>
      <c r="C18" s="16" t="s">
        <v>211</v>
      </c>
      <c r="D18" s="14" t="s">
        <v>212</v>
      </c>
    </row>
  </sheetData>
  <mergeCells count="2">
    <mergeCell ref="A5:D5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Progress Tracker</vt:lpstr>
      <vt:lpstr>Level 1</vt:lpstr>
      <vt:lpstr>Level 2</vt:lpstr>
      <vt:lpstr>Level 3</vt:lpstr>
      <vt:lpstr>Level 4</vt:lpstr>
      <vt:lpstr>Level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 Malik</cp:lastModifiedBy>
  <cp:revision>0</cp:revision>
  <dcterms:created xsi:type="dcterms:W3CDTF">2026-07-09T18:02:52Z</dcterms:created>
  <dcterms:modified xsi:type="dcterms:W3CDTF">2026-07-09T18:08:02Z</dcterms:modified>
  <dc:language>en-US</dc:language>
</cp:coreProperties>
</file>